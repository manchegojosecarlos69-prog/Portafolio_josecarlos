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DCEB97FA-7DF5-47A6-A518-89000A282E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1" l="1"/>
  <c r="N5" i="1"/>
  <c r="T5" i="1" s="1"/>
  <c r="K5" i="1"/>
  <c r="M5" i="1" s="1"/>
  <c r="O5" i="1" s="1"/>
  <c r="P5" i="1" s="1"/>
  <c r="S4" i="1"/>
  <c r="U4" i="1" s="1"/>
  <c r="N4" i="1"/>
  <c r="T4" i="1" s="1"/>
  <c r="K4" i="1"/>
  <c r="M4" i="1" s="1"/>
  <c r="O4" i="1" s="1"/>
  <c r="P4" i="1" s="1"/>
  <c r="S3" i="1"/>
  <c r="N3" i="1"/>
  <c r="T3" i="1" s="1"/>
  <c r="K3" i="1"/>
  <c r="M3" i="1" s="1"/>
  <c r="O3" i="1" s="1"/>
  <c r="P3" i="1" s="1"/>
  <c r="U3" i="1" l="1"/>
  <c r="U5" i="1"/>
</calcChain>
</file>

<file path=xl/sharedStrings.xml><?xml version="1.0" encoding="utf-8"?>
<sst xmlns="http://schemas.openxmlformats.org/spreadsheetml/2006/main" count="32" uniqueCount="24">
  <si>
    <t>Día</t>
  </si>
  <si>
    <t>Batido</t>
  </si>
  <si>
    <t>Horno</t>
  </si>
  <si>
    <t>Relleno</t>
  </si>
  <si>
    <t>Decorado</t>
  </si>
  <si>
    <t>Packaging</t>
  </si>
  <si>
    <t>Entregados</t>
  </si>
  <si>
    <t>Throughput / ciclo</t>
  </si>
  <si>
    <t>Ciclo (minutos)</t>
  </si>
  <si>
    <t>Throughput / min</t>
  </si>
  <si>
    <t>WIP</t>
  </si>
  <si>
    <t>Lead Time / Min</t>
  </si>
  <si>
    <t>Lead Time (minutos)</t>
  </si>
  <si>
    <t>Ingresos</t>
  </si>
  <si>
    <t>Desperdicios</t>
  </si>
  <si>
    <t>Resultado</t>
  </si>
  <si>
    <t>Datos</t>
  </si>
  <si>
    <t>Lunes</t>
  </si>
  <si>
    <t>Minuto</t>
  </si>
  <si>
    <t>Martes</t>
  </si>
  <si>
    <t>Pedido Vendido</t>
  </si>
  <si>
    <t>Miércoles</t>
  </si>
  <si>
    <t>Pedido sin completar</t>
  </si>
  <si>
    <t>Pedido 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</si>
</sst>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:ss"/>
    <numFmt numFmtId="165" formatCode="&quot;$&quot;#,##0"/>
  </numFmts>
  <fonts count="6" x14ac:knownFonts="1">
    <font>
      <sz val="10"/>
      <color rgb="FF000000"/>
      <name val="Arial"/>
      <scheme val="minor"/>
    </font>
    <font>
      <b/>
      <sz val="10"/>
      <color theme="1"/>
      <name val="Raleway"/>
    </font>
    <font>
      <sz val="10"/>
      <color theme="1"/>
      <name val="Raleway"/>
    </font>
    <font>
      <sz val="10"/>
      <color theme="1"/>
      <name val="Arial"/>
    </font>
    <font>
      <sz val="10"/>
      <color rgb="FFCCCCCC"/>
      <name val="Raleway"/>
    </font>
    <font>
      <sz val="10"/>
      <color rgb="FFFFFFFF"/>
      <name val="Raleway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4A7D6"/>
        <bgColor rgb="FFB4A7D6"/>
      </patternFill>
    </fill>
    <fill>
      <patternFill patternType="solid">
        <fgColor theme="4"/>
        <bgColor theme="4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</fills>
  <borders count="15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7" xfId="0" applyFont="1" applyFill="1" applyBorder="1"/>
    <xf numFmtId="0" fontId="3" fillId="2" borderId="8" xfId="0" applyFont="1" applyFill="1" applyBorder="1"/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10" xfId="0" applyNumberFormat="1" applyFont="1" applyBorder="1" applyAlignment="1">
      <alignment horizontal="center"/>
    </xf>
    <xf numFmtId="0" fontId="5" fillId="2" borderId="11" xfId="0" applyFont="1" applyFill="1" applyBorder="1" applyAlignment="1"/>
    <xf numFmtId="164" fontId="5" fillId="2" borderId="12" xfId="0" applyNumberFormat="1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2" borderId="11" xfId="0" applyFont="1" applyFill="1" applyBorder="1" applyAlignment="1"/>
    <xf numFmtId="165" fontId="2" fillId="2" borderId="12" xfId="0" applyNumberFormat="1" applyFont="1" applyFill="1" applyBorder="1" applyAlignment="1">
      <alignment horizontal="center"/>
    </xf>
    <xf numFmtId="0" fontId="2" fillId="0" borderId="0" xfId="0" applyFont="1"/>
    <xf numFmtId="0" fontId="2" fillId="2" borderId="13" xfId="0" applyFont="1" applyFill="1" applyBorder="1" applyAlignment="1"/>
    <xf numFmtId="165" fontId="2" fillId="2" borderId="1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PE" b="0">
                <a:solidFill>
                  <a:srgbClr val="757575"/>
                </a:solidFill>
                <a:latin typeface="+mn-lt"/>
              </a:rPr>
              <a:t>Throughput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Metricas!$K$2</c:f>
              <c:strCache>
                <c:ptCount val="1"/>
                <c:pt idx="0">
                  <c:v>Throughput / ciclo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Metricas!$J$3:$J$5</c:f>
              <c:strCache>
                <c:ptCount val="3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</c:strCache>
            </c:strRef>
          </c:cat>
          <c:val>
            <c:numRef>
              <c:f>Metricas!$K$3:$K$5</c:f>
              <c:numCache>
                <c:formatCode>General</c:formatCode>
                <c:ptCount val="3"/>
                <c:pt idx="0">
                  <c:v>6</c:v>
                </c:pt>
                <c:pt idx="1">
                  <c:v>6</c:v>
                </c:pt>
                <c:pt idx="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45-4E24-9B54-3BC928247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8490584"/>
        <c:axId val="792046542"/>
      </c:lineChart>
      <c:catAx>
        <c:axId val="1968490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PE" b="0">
                    <a:solidFill>
                      <a:srgbClr val="000000"/>
                    </a:solidFill>
                    <a:latin typeface="+mn-lt"/>
                  </a:rPr>
                  <a:t>Ciclo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792046542"/>
        <c:crosses val="autoZero"/>
        <c:auto val="1"/>
        <c:lblAlgn val="ctr"/>
        <c:lblOffset val="100"/>
        <c:noMultiLvlLbl val="1"/>
      </c:catAx>
      <c:valAx>
        <c:axId val="7920465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PE" b="0">
                    <a:solidFill>
                      <a:srgbClr val="000000"/>
                    </a:solidFill>
                    <a:latin typeface="+mn-lt"/>
                  </a:rPr>
                  <a:t>Throughput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9684905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PE" b="0">
                <a:solidFill>
                  <a:srgbClr val="757575"/>
                </a:solidFill>
                <a:latin typeface="+mn-lt"/>
              </a:rPr>
              <a:t>Lead Time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Metricas!$P$2</c:f>
              <c:strCache>
                <c:ptCount val="1"/>
                <c:pt idx="0">
                  <c:v>Lead Time (minutos)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Metricas!$J$3:$J$5</c:f>
              <c:strCache>
                <c:ptCount val="3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</c:strCache>
            </c:strRef>
          </c:cat>
          <c:val>
            <c:numRef>
              <c:f>Metricas!$P$3:$P$5</c:f>
              <c:numCache>
                <c:formatCode>m:ss</c:formatCode>
                <c:ptCount val="3"/>
                <c:pt idx="0">
                  <c:v>4.6296296296296302E-3</c:v>
                </c:pt>
                <c:pt idx="1">
                  <c:v>5.2083333333333339E-3</c:v>
                </c:pt>
                <c:pt idx="2">
                  <c:v>4.8611111111111112E-3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C85-4BBE-B0E9-AD97C2736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91898965"/>
        <c:axId val="690413615"/>
        <c:axId val="0"/>
      </c:bar3DChart>
      <c:catAx>
        <c:axId val="791898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690413615"/>
        <c:crosses val="autoZero"/>
        <c:auto val="1"/>
        <c:lblAlgn val="ctr"/>
        <c:lblOffset val="100"/>
        <c:noMultiLvlLbl val="1"/>
      </c:catAx>
      <c:valAx>
        <c:axId val="690413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m:ss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7918989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PE" b="0">
                <a:solidFill>
                  <a:srgbClr val="757575"/>
                </a:solidFill>
                <a:latin typeface="+mn-lt"/>
              </a:rPr>
              <a:t>CFD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Metricas!$C$2</c:f>
              <c:strCache>
                <c:ptCount val="1"/>
                <c:pt idx="0">
                  <c:v>Batido</c:v>
                </c:pt>
              </c:strCache>
            </c:strRef>
          </c:tx>
          <c:spPr>
            <a:solidFill>
              <a:srgbClr val="8E7CC3"/>
            </a:solidFill>
            <a:ln cmpd="sng">
              <a:solidFill>
                <a:srgbClr val="8E7CC3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Metricas!$B$3:$B$5</c:f>
              <c:strCache>
                <c:ptCount val="3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</c:strCache>
            </c:strRef>
          </c:cat>
          <c:val>
            <c:numRef>
              <c:f>Metricas!$C$3:$C$5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5-4F18-8BA4-285D73801E7C}"/>
            </c:ext>
          </c:extLst>
        </c:ser>
        <c:ser>
          <c:idx val="1"/>
          <c:order val="1"/>
          <c:tx>
            <c:strRef>
              <c:f>Metricas!$D$2</c:f>
              <c:strCache>
                <c:ptCount val="1"/>
                <c:pt idx="0">
                  <c:v>Horno</c:v>
                </c:pt>
              </c:strCache>
            </c:strRef>
          </c:tx>
          <c:spPr>
            <a:solidFill>
              <a:srgbClr val="3D85C6"/>
            </a:solidFill>
            <a:ln cmpd="sng">
              <a:solidFill>
                <a:srgbClr val="3D85C6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Metricas!$B$3:$B$5</c:f>
              <c:strCache>
                <c:ptCount val="3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</c:strCache>
            </c:strRef>
          </c:cat>
          <c:val>
            <c:numRef>
              <c:f>Metricas!$D$3:$D$5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55-4F18-8BA4-285D73801E7C}"/>
            </c:ext>
          </c:extLst>
        </c:ser>
        <c:ser>
          <c:idx val="2"/>
          <c:order val="2"/>
          <c:tx>
            <c:strRef>
              <c:f>Metricas!$E$2</c:f>
              <c:strCache>
                <c:ptCount val="1"/>
                <c:pt idx="0">
                  <c:v>Relleno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6AA84F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Metricas!$B$3:$B$5</c:f>
              <c:strCache>
                <c:ptCount val="3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</c:strCache>
            </c:strRef>
          </c:cat>
          <c:val>
            <c:numRef>
              <c:f>Metricas!$E$3:$E$5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55-4F18-8BA4-285D73801E7C}"/>
            </c:ext>
          </c:extLst>
        </c:ser>
        <c:ser>
          <c:idx val="3"/>
          <c:order val="3"/>
          <c:tx>
            <c:strRef>
              <c:f>Metricas!$F$2</c:f>
              <c:strCache>
                <c:ptCount val="1"/>
                <c:pt idx="0">
                  <c:v>Decorado</c:v>
                </c:pt>
              </c:strCache>
            </c:strRef>
          </c:tx>
          <c:spPr>
            <a:solidFill>
              <a:srgbClr val="FFD966"/>
            </a:solidFill>
            <a:ln cmpd="sng">
              <a:solidFill>
                <a:srgbClr val="FFD966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Metricas!$B$3:$B$5</c:f>
              <c:strCache>
                <c:ptCount val="3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</c:strCache>
            </c:strRef>
          </c:cat>
          <c:val>
            <c:numRef>
              <c:f>Metricas!$F$3:$F$5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55-4F18-8BA4-285D73801E7C}"/>
            </c:ext>
          </c:extLst>
        </c:ser>
        <c:ser>
          <c:idx val="4"/>
          <c:order val="4"/>
          <c:tx>
            <c:strRef>
              <c:f>Metricas!$G$2</c:f>
              <c:strCache>
                <c:ptCount val="1"/>
                <c:pt idx="0">
                  <c:v>Packaging</c:v>
                </c:pt>
              </c:strCache>
            </c:strRef>
          </c:tx>
          <c:spPr>
            <a:solidFill>
              <a:srgbClr val="E69138"/>
            </a:solidFill>
            <a:ln cmpd="sng">
              <a:solidFill>
                <a:srgbClr val="E69138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Metricas!$B$3:$B$5</c:f>
              <c:strCache>
                <c:ptCount val="3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</c:strCache>
            </c:strRef>
          </c:cat>
          <c:val>
            <c:numRef>
              <c:f>Metricas!$G$3:$G$5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55-4F18-8BA4-285D73801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537041"/>
        <c:axId val="1745003414"/>
      </c:areaChart>
      <c:catAx>
        <c:axId val="1362537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745003414"/>
        <c:crosses val="autoZero"/>
        <c:auto val="1"/>
        <c:lblAlgn val="ctr"/>
        <c:lblOffset val="100"/>
        <c:noMultiLvlLbl val="1"/>
      </c:catAx>
      <c:valAx>
        <c:axId val="174500341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36253704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PE" b="0">
                <a:solidFill>
                  <a:srgbClr val="757575"/>
                </a:solidFill>
                <a:latin typeface="+mn-lt"/>
              </a:rPr>
              <a:t>Resultados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2"/>
          <c:order val="2"/>
          <c:tx>
            <c:strRef>
              <c:f>Metricas!$U$2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6FA8DC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Metricas!$R$3:$R$5</c:f>
              <c:strCache>
                <c:ptCount val="3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</c:strCache>
            </c:strRef>
          </c:cat>
          <c:val>
            <c:numRef>
              <c:f>Metricas!$U$3:$U$5</c:f>
              <c:numCache>
                <c:formatCode>"$"#,##0</c:formatCode>
                <c:ptCount val="3"/>
                <c:pt idx="0">
                  <c:v>20</c:v>
                </c:pt>
                <c:pt idx="1">
                  <c:v>-30</c:v>
                </c:pt>
                <c:pt idx="2">
                  <c:v>1150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4F1-4323-80C7-CC436CE01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7573079"/>
        <c:axId val="2075881613"/>
      </c:barChart>
      <c:lineChart>
        <c:grouping val="standard"/>
        <c:varyColors val="1"/>
        <c:ser>
          <c:idx val="0"/>
          <c:order val="0"/>
          <c:tx>
            <c:strRef>
              <c:f>Metricas!$S$2</c:f>
              <c:strCache>
                <c:ptCount val="1"/>
                <c:pt idx="0">
                  <c:v>Ingresos</c:v>
                </c:pt>
              </c:strCache>
            </c:strRef>
          </c:tx>
          <c:spPr>
            <a:ln cmpd="sng">
              <a:solidFill>
                <a:srgbClr val="6AA84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Metricas!$R$3:$R$5</c:f>
              <c:strCache>
                <c:ptCount val="3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</c:strCache>
            </c:strRef>
          </c:cat>
          <c:val>
            <c:numRef>
              <c:f>Metricas!$S$3:$S$5</c:f>
              <c:numCache>
                <c:formatCode>"$"#,##0</c:formatCode>
                <c:ptCount val="3"/>
                <c:pt idx="0">
                  <c:v>420</c:v>
                </c:pt>
                <c:pt idx="1">
                  <c:v>420</c:v>
                </c:pt>
                <c:pt idx="2">
                  <c:v>1500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4F1-4323-80C7-CC436CE01E7C}"/>
            </c:ext>
          </c:extLst>
        </c:ser>
        <c:ser>
          <c:idx val="1"/>
          <c:order val="1"/>
          <c:tx>
            <c:strRef>
              <c:f>Metricas!$T$2</c:f>
              <c:strCache>
                <c:ptCount val="1"/>
                <c:pt idx="0">
                  <c:v>Desperdicios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Metricas!$R$3:$R$5</c:f>
              <c:strCache>
                <c:ptCount val="3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</c:strCache>
            </c:strRef>
          </c:cat>
          <c:val>
            <c:numRef>
              <c:f>Metricas!$T$3:$T$5</c:f>
              <c:numCache>
                <c:formatCode>"$"#,##0</c:formatCode>
                <c:ptCount val="3"/>
                <c:pt idx="0">
                  <c:v>-400</c:v>
                </c:pt>
                <c:pt idx="1">
                  <c:v>-450</c:v>
                </c:pt>
                <c:pt idx="2">
                  <c:v>-350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4F1-4323-80C7-CC436CE01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7573079"/>
        <c:axId val="2075881613"/>
      </c:lineChart>
      <c:catAx>
        <c:axId val="2007573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PE" b="0">
                    <a:solidFill>
                      <a:srgbClr val="000000"/>
                    </a:solidFill>
                    <a:latin typeface="+mn-lt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2075881613"/>
        <c:crosses val="autoZero"/>
        <c:auto val="1"/>
        <c:lblAlgn val="ctr"/>
        <c:lblOffset val="100"/>
        <c:noMultiLvlLbl val="1"/>
      </c:catAx>
      <c:valAx>
        <c:axId val="20758816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&quot;$&quot;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20075730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23</xdr:row>
      <xdr:rowOff>190500</xdr:rowOff>
    </xdr:from>
    <xdr:ext cx="5838825" cy="31908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85725</xdr:colOff>
      <xdr:row>5</xdr:row>
      <xdr:rowOff>152400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123825</xdr:colOff>
      <xdr:row>5</xdr:row>
      <xdr:rowOff>152400</xdr:rowOff>
    </xdr:from>
    <xdr:ext cx="5876925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91439</xdr:colOff>
      <xdr:row>24</xdr:row>
      <xdr:rowOff>22860</xdr:rowOff>
    </xdr:from>
    <xdr:ext cx="5709285" cy="316801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40"/>
  <sheetViews>
    <sheetView showGridLines="0" tabSelected="1" workbookViewId="0">
      <selection activeCell="T15" sqref="T15"/>
    </sheetView>
  </sheetViews>
  <sheetFormatPr baseColWidth="10" defaultColWidth="12.6640625" defaultRowHeight="15.75" customHeight="1" x14ac:dyDescent="0.25"/>
  <cols>
    <col min="1" max="1" width="2" customWidth="1"/>
    <col min="2" max="2" width="10.33203125" customWidth="1"/>
    <col min="3" max="3" width="9.21875" customWidth="1"/>
    <col min="4" max="4" width="8.44140625" customWidth="1"/>
    <col min="5" max="5" width="8.88671875" customWidth="1"/>
    <col min="6" max="6" width="9" customWidth="1"/>
    <col min="7" max="7" width="10.109375" customWidth="1"/>
    <col min="8" max="8" width="10.77734375" customWidth="1"/>
    <col min="9" max="9" width="3" customWidth="1"/>
    <col min="10" max="10" width="9.77734375" customWidth="1"/>
    <col min="11" max="11" width="11.44140625" customWidth="1"/>
    <col min="12" max="12" width="11.6640625" customWidth="1"/>
    <col min="13" max="13" width="10.44140625" customWidth="1"/>
    <col min="14" max="14" width="7.109375" customWidth="1"/>
    <col min="15" max="15" width="12.6640625" customWidth="1"/>
    <col min="16" max="16" width="10" customWidth="1"/>
    <col min="17" max="17" width="2.44140625" customWidth="1"/>
    <col min="18" max="18" width="10.33203125" customWidth="1"/>
    <col min="19" max="19" width="10.6640625" customWidth="1"/>
    <col min="20" max="21" width="12.109375" customWidth="1"/>
    <col min="22" max="22" width="2.33203125" customWidth="1"/>
    <col min="23" max="23" width="17.33203125" customWidth="1"/>
    <col min="24" max="24" width="10" customWidth="1"/>
    <col min="25" max="25" width="3.6640625" customWidth="1"/>
  </cols>
  <sheetData>
    <row r="1" spans="1:25" ht="8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1"/>
      <c r="S1" s="1"/>
      <c r="T1" s="1"/>
      <c r="U1" s="1"/>
      <c r="V1" s="2"/>
      <c r="W1" s="3"/>
      <c r="X1" s="4"/>
      <c r="Y1" s="2"/>
    </row>
    <row r="2" spans="1:25" ht="33" customHeight="1" x14ac:dyDescent="0.25">
      <c r="A2" s="1"/>
      <c r="B2" s="5" t="s">
        <v>0</v>
      </c>
      <c r="C2" s="6" t="s">
        <v>1</v>
      </c>
      <c r="D2" s="7" t="s">
        <v>2</v>
      </c>
      <c r="E2" s="8" t="s">
        <v>3</v>
      </c>
      <c r="F2" s="9" t="s">
        <v>4</v>
      </c>
      <c r="G2" s="10" t="s">
        <v>5</v>
      </c>
      <c r="H2" s="11" t="s">
        <v>6</v>
      </c>
      <c r="I2" s="1"/>
      <c r="J2" s="12" t="s">
        <v>0</v>
      </c>
      <c r="K2" s="13" t="s">
        <v>7</v>
      </c>
      <c r="L2" s="14" t="s">
        <v>8</v>
      </c>
      <c r="M2" s="14" t="s">
        <v>9</v>
      </c>
      <c r="N2" s="13" t="s">
        <v>10</v>
      </c>
      <c r="O2" s="14" t="s">
        <v>11</v>
      </c>
      <c r="P2" s="15" t="s">
        <v>12</v>
      </c>
      <c r="Q2" s="16"/>
      <c r="R2" s="12" t="s">
        <v>0</v>
      </c>
      <c r="S2" s="13" t="s">
        <v>13</v>
      </c>
      <c r="T2" s="13" t="s">
        <v>14</v>
      </c>
      <c r="U2" s="15" t="s">
        <v>15</v>
      </c>
      <c r="V2" s="16"/>
      <c r="W2" s="17" t="s">
        <v>16</v>
      </c>
      <c r="X2" s="18"/>
      <c r="Y2" s="16"/>
    </row>
    <row r="3" spans="1:25" ht="19.5" customHeight="1" x14ac:dyDescent="0.25">
      <c r="A3" s="19"/>
      <c r="B3" s="20" t="s">
        <v>17</v>
      </c>
      <c r="C3" s="19">
        <v>3</v>
      </c>
      <c r="D3" s="19">
        <v>1</v>
      </c>
      <c r="E3" s="19">
        <v>1</v>
      </c>
      <c r="F3" s="19">
        <v>1</v>
      </c>
      <c r="G3" s="19">
        <v>2</v>
      </c>
      <c r="H3" s="21">
        <v>6</v>
      </c>
      <c r="I3" s="19"/>
      <c r="J3" s="20" t="s">
        <v>17</v>
      </c>
      <c r="K3" s="19">
        <f t="shared" ref="K3:K5" si="0">H3</f>
        <v>6</v>
      </c>
      <c r="L3" s="22">
        <v>5</v>
      </c>
      <c r="M3" s="23">
        <f t="shared" ref="M3:M5" si="1">K3/L3</f>
        <v>1.2</v>
      </c>
      <c r="N3" s="19">
        <f t="shared" ref="N3:N5" si="2">SUM(C3:G3)</f>
        <v>8</v>
      </c>
      <c r="O3" s="24">
        <f t="shared" ref="O3:O5" si="3">IF(M3,(N3/M3),0)</f>
        <v>6.666666666666667</v>
      </c>
      <c r="P3" s="25">
        <f t="shared" ref="P3:P5" si="4">O3*$X$3</f>
        <v>4.6296296296296302E-3</v>
      </c>
      <c r="Q3" s="26"/>
      <c r="R3" s="20" t="s">
        <v>17</v>
      </c>
      <c r="S3" s="27">
        <f t="shared" ref="S3:S4" si="5">H3*$X$4</f>
        <v>420</v>
      </c>
      <c r="T3" s="27">
        <f t="shared" ref="T3:T5" si="6">N3*$X$5</f>
        <v>-400</v>
      </c>
      <c r="U3" s="28">
        <f t="shared" ref="U3:U5" si="7">S3+T3</f>
        <v>20</v>
      </c>
      <c r="V3" s="26"/>
      <c r="W3" s="29" t="s">
        <v>18</v>
      </c>
      <c r="X3" s="30">
        <v>6.9444444444444447E-4</v>
      </c>
      <c r="Y3" s="26"/>
    </row>
    <row r="4" spans="1:25" ht="19.5" customHeight="1" x14ac:dyDescent="0.25">
      <c r="A4" s="19"/>
      <c r="B4" s="20" t="s">
        <v>19</v>
      </c>
      <c r="C4" s="19">
        <v>3</v>
      </c>
      <c r="D4" s="19">
        <v>1</v>
      </c>
      <c r="E4" s="19">
        <v>2</v>
      </c>
      <c r="F4" s="19">
        <v>1</v>
      </c>
      <c r="G4" s="19">
        <v>2</v>
      </c>
      <c r="H4" s="21">
        <v>6</v>
      </c>
      <c r="I4" s="19"/>
      <c r="J4" s="20" t="s">
        <v>19</v>
      </c>
      <c r="K4" s="19">
        <f t="shared" si="0"/>
        <v>6</v>
      </c>
      <c r="L4" s="22">
        <v>5</v>
      </c>
      <c r="M4" s="23">
        <f t="shared" si="1"/>
        <v>1.2</v>
      </c>
      <c r="N4" s="19">
        <f t="shared" si="2"/>
        <v>9</v>
      </c>
      <c r="O4" s="24">
        <f t="shared" si="3"/>
        <v>7.5</v>
      </c>
      <c r="P4" s="25">
        <f t="shared" si="4"/>
        <v>5.2083333333333339E-3</v>
      </c>
      <c r="Q4" s="26"/>
      <c r="R4" s="20" t="s">
        <v>19</v>
      </c>
      <c r="S4" s="27">
        <f t="shared" si="5"/>
        <v>420</v>
      </c>
      <c r="T4" s="31">
        <f t="shared" si="6"/>
        <v>-450</v>
      </c>
      <c r="U4" s="28">
        <f t="shared" si="7"/>
        <v>-30</v>
      </c>
      <c r="W4" s="32" t="s">
        <v>20</v>
      </c>
      <c r="X4" s="33">
        <v>70</v>
      </c>
      <c r="Y4" s="26"/>
    </row>
    <row r="5" spans="1:25" ht="19.5" customHeight="1" x14ac:dyDescent="0.25">
      <c r="A5" s="19"/>
      <c r="B5" s="20" t="s">
        <v>21</v>
      </c>
      <c r="C5" s="19">
        <v>2</v>
      </c>
      <c r="D5" s="19">
        <v>3</v>
      </c>
      <c r="E5" s="19">
        <v>1</v>
      </c>
      <c r="F5" s="19">
        <v>1</v>
      </c>
      <c r="G5" s="19">
        <v>0</v>
      </c>
      <c r="H5" s="21">
        <v>5</v>
      </c>
      <c r="I5" s="19"/>
      <c r="J5" s="20" t="s">
        <v>21</v>
      </c>
      <c r="K5" s="19">
        <f t="shared" si="0"/>
        <v>5</v>
      </c>
      <c r="L5" s="22">
        <v>5</v>
      </c>
      <c r="M5" s="23">
        <f t="shared" si="1"/>
        <v>1</v>
      </c>
      <c r="N5" s="19">
        <f t="shared" si="2"/>
        <v>7</v>
      </c>
      <c r="O5" s="24">
        <f t="shared" si="3"/>
        <v>7</v>
      </c>
      <c r="P5" s="25">
        <f t="shared" si="4"/>
        <v>4.8611111111111112E-3</v>
      </c>
      <c r="Q5" s="26"/>
      <c r="R5" s="20" t="s">
        <v>21</v>
      </c>
      <c r="S5" s="27">
        <f>H5*$X$6</f>
        <v>1500</v>
      </c>
      <c r="T5" s="31">
        <f t="shared" si="6"/>
        <v>-350</v>
      </c>
      <c r="U5" s="28">
        <f t="shared" si="7"/>
        <v>1150</v>
      </c>
      <c r="W5" s="32" t="s">
        <v>22</v>
      </c>
      <c r="X5" s="33">
        <v>-50</v>
      </c>
      <c r="Y5" s="26"/>
    </row>
    <row r="6" spans="1:25" ht="13.2" x14ac:dyDescent="0.2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5" t="s">
        <v>23</v>
      </c>
      <c r="X6" s="36">
        <v>300</v>
      </c>
      <c r="Y6" s="34"/>
    </row>
    <row r="7" spans="1:25" ht="13.2" x14ac:dyDescent="0.25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1:25" ht="13.2" x14ac:dyDescent="0.25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 spans="1:25" ht="13.2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 spans="1:25" ht="13.2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spans="1:25" ht="13.2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spans="1:25" ht="13.2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spans="1:25" ht="13.2" x14ac:dyDescent="0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spans="1:25" ht="13.2" x14ac:dyDescent="0.2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spans="1:25" ht="13.2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 spans="1:25" ht="13.2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 spans="1:25" ht="13.2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spans="1:25" ht="13.2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ht="13.2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spans="1:25" ht="13.2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spans="1:25" ht="13.2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spans="1:25" ht="13.2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ht="13.2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spans="1:25" ht="13.2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spans="1:25" ht="13.2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spans="1:25" ht="13.2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 spans="1:25" ht="13.2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 spans="1:25" ht="13.2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spans="1:25" ht="13.2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spans="1:25" ht="13.2" x14ac:dyDescent="0.2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spans="1:25" ht="13.2" x14ac:dyDescent="0.2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spans="1:25" ht="13.2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spans="1:25" ht="13.2" x14ac:dyDescent="0.25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 spans="1:25" ht="13.2" x14ac:dyDescent="0.25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spans="1:25" ht="13.2" x14ac:dyDescent="0.2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 spans="1:25" ht="13.2" x14ac:dyDescent="0.2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 spans="1:25" ht="13.2" x14ac:dyDescent="0.2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 spans="1:25" ht="13.2" x14ac:dyDescent="0.2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 spans="1:25" ht="13.2" x14ac:dyDescent="0.25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 spans="1:25" ht="13.2" x14ac:dyDescent="0.2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2026-01-19T03:29:53Z</dcterms:created>
  <dcterms:modified xsi:type="dcterms:W3CDTF">2026-01-19T03:29:54Z</dcterms:modified>
</cp:coreProperties>
</file>